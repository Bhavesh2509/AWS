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<sst xmlns="http://schemas.openxmlformats.org/spreadsheetml/2006/main" count="38" uniqueCount="38">
  <si>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CloudLabs Cost Calculator (AWS)</t>
  </si>
  <si>
    <t xml:space="preserve">  Parameters  —  edit yellow cells</t>
  </si>
  <si>
    <t xml:space="preserve">Lab Duration (hrs)</t>
  </si>
  <si>
    <t xml:space="preserve">Total hours the lab environment exists</t>
  </si>
  <si>
    <t xml:space="preserve">Blue bold = editable input</t>
  </si>
  <si>
    <t xml:space="preserve">VM Uptime (hrs)</t>
  </si>
  <si>
    <t xml:space="preserve">Hours EC2/ECS actually runs (must be ≤ Lab Duration)</t>
  </si>
  <si>
    <t xml:space="preserve">Yellow = change this cell</t>
  </si>
  <si>
    <t xml:space="preserve">No of Users</t>
  </si>
  <si>
    <t xml:space="preserve">Number of lab users</t>
  </si>
  <si>
    <t xml:space="preserve">Black = auto-calculated</t>
  </si>
  <si>
    <t xml:space="preserve">* RDS billed full lab duration (cannot stop &gt;7 days)</t>
  </si>
  <si>
    <t xml:space="preserve">  Cost Breakdown</t>
  </si>
  <si>
    <t xml:space="preserve">Service</t>
  </si>
  <si>
    <t xml:space="preserve">Type &amp; Size</t>
  </si>
  <si>
    <t xml:space="preserve">Count
(editable)</t>
  </si>
  <si>
    <t xml:space="preserve">Stoppable
(1=Yes  0=No)</t>
  </si>
  <si>
    <t xml:space="preserve">Rate
($/hr or $/GB)</t>
  </si>
  <si>
    <t xml:space="preserve">Unit Size
(GB or 1)</t>
  </si>
  <si>
    <t xml:space="preserve">Cost / Month
(reference)</t>
  </si>
  <si>
    <t xml:space="preserve">Total Cost
(for lab duration)</t>
  </si>
  <si>
    <t xml:space="preserve">EC2</t>
  </si>
  <si>
    <t xml:space="preserve">m6g.xlarge</t>
  </si>
  <si>
    <t xml:space="preserve">EBS</t>
  </si>
  <si>
    <t xml:space="preserve">gp3 - 30 GB/inst</t>
  </si>
  <si>
    <t xml:space="preserve">S3</t>
  </si>
  <si>
    <t xml:space="preserve">Standard</t>
  </si>
  <si>
    <t xml:space="preserve">RDS</t>
  </si>
  <si>
    <t xml:space="preserve">MySQL *</t>
  </si>
  <si>
    <t xml:space="preserve">ELB</t>
  </si>
  <si>
    <t xml:space="preserve">ALB</t>
  </si>
  <si>
    <t xml:space="preserve">Data Transfer</t>
  </si>
  <si>
    <t xml:space="preserve">Outbound</t>
  </si>
  <si>
    <t xml:space="preserve">ECS</t>
  </si>
  <si>
    <t xml:space="preserve">c5.12xlarge</t>
  </si>
  <si>
    <t xml:space="preserve">TOTAL</t>
  </si>
  <si>
    <t xml:space="preserve">Total Cost per User (USD)</t>
  </si>
  <si>
    <t xml:space="preserve">Total Cost for All Users (USD)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</si>
</sst>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00"/>
    <numFmt numFmtId="166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6DB4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2E6DB4"/>
      </left>
      <right style="thin">
        <color rgb="FF2E6DB4"/>
      </right>
      <top style="thin">
        <color rgb="FF2E6DB4"/>
      </top>
      <bottom style="thin">
        <color rgb="FF2E6DB4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6DB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2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</v>
      </c>
      <c r="B4" s="4" t="n">
        <v>1440</v>
      </c>
      <c r="C4" s="5" t="s">
        <v>3</v>
      </c>
      <c r="E4" s="6" t="s">
        <v>4</v>
      </c>
    </row>
    <row r="5" customFormat="false" ht="15" hidden="false" customHeight="false" outlineLevel="0" collapsed="false">
      <c r="A5" s="3" t="s">
        <v>5</v>
      </c>
      <c r="B5" s="4" t="n">
        <v>50</v>
      </c>
      <c r="C5" s="5" t="s">
        <v>6</v>
      </c>
      <c r="E5" s="7" t="s">
        <v>7</v>
      </c>
    </row>
    <row r="6" customFormat="false" ht="15" hidden="false" customHeight="false" outlineLevel="0" collapsed="false">
      <c r="A6" s="3" t="s">
        <v>8</v>
      </c>
      <c r="B6" s="4" t="n">
        <v>5</v>
      </c>
      <c r="C6" s="5" t="s">
        <v>9</v>
      </c>
      <c r="E6" s="8" t="s">
        <v>10</v>
      </c>
    </row>
    <row r="7" customFormat="false" ht="15" hidden="false" customHeight="false" outlineLevel="0" collapsed="false">
      <c r="E7" s="9" t="s">
        <v>11</v>
      </c>
    </row>
    <row r="10" customFormat="false" ht="21.75" hidden="false" customHeight="true" outlineLevel="0" collapsed="false">
      <c r="A10" s="2" t="s">
        <v>12</v>
      </c>
      <c r="B10" s="2"/>
      <c r="C10" s="2"/>
      <c r="D10" s="2"/>
      <c r="E10" s="2"/>
      <c r="F10" s="2"/>
      <c r="G10" s="2"/>
      <c r="H10" s="2"/>
    </row>
    <row r="11" customFormat="false" ht="42" hidden="false" customHeight="true" outlineLevel="0" collapsed="false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  <c r="G11" s="10" t="s">
        <v>19</v>
      </c>
      <c r="H11" s="10" t="s">
        <v>20</v>
      </c>
    </row>
    <row r="12" customFormat="false" ht="19.5" hidden="false" customHeight="true" outlineLevel="0" collapsed="false">
      <c r="A12" s="11" t="s">
        <v>21</v>
      </c>
      <c r="B12" s="12" t="s">
        <v>22</v>
      </c>
      <c r="C12" s="4" t="n">
        <f aca="false">$B$6</f>
        <v>5</v>
      </c>
      <c r="D12" s="4" t="n">
        <v>1</v>
      </c>
      <c r="E12" s="13" t="n">
        <v>0.154</v>
      </c>
      <c r="F12" s="4" t="n">
        <v>1</v>
      </c>
      <c r="G12" s="14" t="n">
        <f aca="false">E12*F12*730</f>
        <v>112.42</v>
      </c>
      <c r="H12" s="14" t="n">
        <f aca="false">IF(D12=1, E12*$B$5*C12*F12, G12*($B$4/730)*C12)</f>
        <v>38.5</v>
      </c>
    </row>
    <row r="13" customFormat="false" ht="19.5" hidden="false" customHeight="true" outlineLevel="0" collapsed="false">
      <c r="A13" s="15" t="s">
        <v>23</v>
      </c>
      <c r="B13" s="16" t="s">
        <v>24</v>
      </c>
      <c r="C13" s="4" t="n">
        <f aca="false">$B$6</f>
        <v>5</v>
      </c>
      <c r="D13" s="4" t="n">
        <v>0</v>
      </c>
      <c r="E13" s="13" t="n">
        <v>0.08</v>
      </c>
      <c r="F13" s="4" t="n">
        <v>30</v>
      </c>
      <c r="G13" s="17" t="n">
        <f aca="false">E13*F13</f>
        <v>2.4</v>
      </c>
      <c r="H13" s="17" t="n">
        <f aca="false">G13*($B$4/730)*C13</f>
        <v>23.6712328767123</v>
      </c>
    </row>
    <row r="14" customFormat="false" ht="19.5" hidden="false" customHeight="true" outlineLevel="0" collapsed="false">
      <c r="A14" s="11" t="s">
        <v>25</v>
      </c>
      <c r="B14" s="12" t="s">
        <v>26</v>
      </c>
      <c r="C14" s="4" t="n">
        <v>1</v>
      </c>
      <c r="D14" s="4" t="n">
        <v>0</v>
      </c>
      <c r="E14" s="13" t="n">
        <v>0.023</v>
      </c>
      <c r="F14" s="4" t="n">
        <v>500</v>
      </c>
      <c r="G14" s="14" t="n">
        <f aca="false">E14*F14</f>
        <v>11.5</v>
      </c>
      <c r="H14" s="14" t="n">
        <f aca="false">G14*($B$4/730)*C14</f>
        <v>22.6849315068493</v>
      </c>
    </row>
    <row r="15" customFormat="false" ht="19.5" hidden="false" customHeight="true" outlineLevel="0" collapsed="false">
      <c r="A15" s="15" t="s">
        <v>27</v>
      </c>
      <c r="B15" s="16" t="s">
        <v>28</v>
      </c>
      <c r="C15" s="4" t="n">
        <v>1</v>
      </c>
      <c r="D15" s="4" t="n">
        <v>0</v>
      </c>
      <c r="E15" s="13" t="n">
        <v>0.23</v>
      </c>
      <c r="F15" s="4" t="n">
        <v>1</v>
      </c>
      <c r="G15" s="17" t="n">
        <f aca="false">E15*F15*730</f>
        <v>167.9</v>
      </c>
      <c r="H15" s="17" t="n">
        <f aca="false">IF(D15=1, E15*$B$5*C15*F15, G15*($B$4/730)*C15)</f>
        <v>331.2</v>
      </c>
    </row>
    <row r="16" customFormat="false" ht="19.5" hidden="false" customHeight="true" outlineLevel="0" collapsed="false">
      <c r="A16" s="11" t="s">
        <v>29</v>
      </c>
      <c r="B16" s="12" t="s">
        <v>30</v>
      </c>
      <c r="C16" s="4" t="n">
        <v>1</v>
      </c>
      <c r="D16" s="4" t="n">
        <v>0</v>
      </c>
      <c r="E16" s="13" t="n">
        <v>0.0225</v>
      </c>
      <c r="F16" s="4" t="n">
        <v>1</v>
      </c>
      <c r="G16" s="14" t="n">
        <f aca="false">E16*F16*730</f>
        <v>16.425</v>
      </c>
      <c r="H16" s="14" t="n">
        <f aca="false">IF(D16=1, E16*$B$5*C16*F16, G16*($B$4/730)*C16)</f>
        <v>32.4</v>
      </c>
    </row>
    <row r="17" customFormat="false" ht="19.5" hidden="false" customHeight="true" outlineLevel="0" collapsed="false">
      <c r="A17" s="15" t="s">
        <v>31</v>
      </c>
      <c r="B17" s="16" t="s">
        <v>32</v>
      </c>
      <c r="C17" s="4" t="n">
        <v>1</v>
      </c>
      <c r="D17" s="4" t="n">
        <v>0</v>
      </c>
      <c r="E17" s="13" t="n">
        <v>0.09</v>
      </c>
      <c r="F17" s="4" t="n">
        <v>100</v>
      </c>
      <c r="G17" s="17" t="n">
        <f aca="false">E17*F17</f>
        <v>9</v>
      </c>
      <c r="H17" s="17" t="n">
        <f aca="false">G17*($B$4/730)*C17</f>
        <v>17.7534246575342</v>
      </c>
    </row>
    <row r="18" customFormat="false" ht="19.5" hidden="false" customHeight="true" outlineLevel="0" collapsed="false">
      <c r="A18" s="11" t="s">
        <v>33</v>
      </c>
      <c r="B18" s="12" t="s">
        <v>34</v>
      </c>
      <c r="C18" s="4" t="n">
        <v>1</v>
      </c>
      <c r="D18" s="4" t="n">
        <v>1</v>
      </c>
      <c r="E18" s="13" t="n">
        <v>0.2448</v>
      </c>
      <c r="F18" s="4" t="n">
        <v>1</v>
      </c>
      <c r="G18" s="14" t="n">
        <f aca="false">E18*F18*730</f>
        <v>178.704</v>
      </c>
      <c r="H18" s="14" t="n">
        <f aca="false">IF(D18=1, E18*$B$5*C18*F18, G18*($B$4/730)*C18)</f>
        <v>12.24</v>
      </c>
    </row>
    <row r="19" customFormat="false" ht="21.75" hidden="false" customHeight="true" outlineLevel="0" collapsed="false">
      <c r="A19" s="18" t="s">
        <v>35</v>
      </c>
      <c r="B19" s="18"/>
      <c r="C19" s="18"/>
      <c r="D19" s="18"/>
      <c r="E19" s="18"/>
      <c r="F19" s="18"/>
      <c r="G19" s="18"/>
      <c r="H19" s="19" t="n">
        <f aca="false">SUM(H12:H18)</f>
        <v>478.449589041096</v>
      </c>
    </row>
    <row r="21" customFormat="false" ht="15" hidden="false" customHeight="false" outlineLevel="0" collapsed="false">
      <c r="F21" s="20" t="s">
        <v>36</v>
      </c>
      <c r="G21" s="21" t="n">
        <f aca="false">H19/$B$6</f>
        <v>95.6899178082192</v>
      </c>
      <c r="H21" s="22"/>
    </row>
    <row r="22" customFormat="false" ht="15" hidden="false" customHeight="false" outlineLevel="0" collapsed="false">
      <c r="F22" s="20" t="s">
        <v>37</v>
      </c>
      <c r="G22" s="21" t="n">
        <f aca="false">H19</f>
        <v>478.449589041096</v>
      </c>
      <c r="H22" s="22"/>
    </row>
  </sheetData>
  <mergeCells count="4">
    <mergeCell ref="A1:H1"/>
    <mergeCell ref="A3:H3"/>
    <mergeCell ref="A10:H10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2026-03-20T12:16:50Z</dcterms:created>
  <dc:creator>openpyxl</dc:creator>
  <dc:description/>
  <dc:language>en-US</dc:language>
  <cp:lastModifiedBy/>
  <dcterms:modified xsi:type="dcterms:W3CDTF">2026-03-20T12:16:50Z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